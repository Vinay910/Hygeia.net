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75" windowWidth="20115" windowHeight="7995" tabRatio="588"/>
  </bookViews>
  <sheets>
    <sheet name="DB_CONFIG" sheetId="19" r:id="rId1"/>
  </sheets>
  <definedNames>
    <definedName name="DBConect_USNAS">DB_CONFIG!$B$17:$G$17</definedName>
    <definedName name="HomePage_Test">#REF!</definedName>
    <definedName name="Internetexplorerversions">#REF!</definedName>
    <definedName name="NA">#REF!</definedName>
    <definedName name="TestExecution_Details">DB_CONFIG!$B$3:$C$3</definedName>
  </definedNames>
  <calcPr calcId="124519"/>
</workbook>
</file>

<file path=xl/calcChain.xml><?xml version="1.0" encoding="utf-8"?>
<calcChain xmlns="http://schemas.openxmlformats.org/spreadsheetml/2006/main">
  <c r="B17" i="19"/>
  <c r="C17"/>
  <c r="C3"/>
  <c r="F17" l="1"/>
  <c r="E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<sst xmlns="http://schemas.openxmlformats.org/spreadsheetml/2006/main" count="42" uniqueCount="27">
  <si>
    <t>Password</t>
  </si>
  <si>
    <t>Yes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</si>
  <si>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</si>
  <si>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</si>
  <si>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</si>
  <si>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</si>
  <si>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</si>
  <si>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</si>
  <si>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</si>
  <si>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</si>
  <si>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</si>
  <si>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</si>
  <si>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</si>
  <si>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</si>
  <si>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URL</t>
  </si>
  <si>
    <t>Env_URL</t>
  </si>
  <si>
    <t>http://test.hygeia.net</t>
  </si>
  <si>
    <t>http://stage.hygeia.net</t>
  </si>
  <si>
    <t>http://hygeia.net</t>
  </si>
  <si>
    <t>dbset0893.ms.ds.uhc.com</t>
  </si>
  <si>
    <t>dbses1230.ms.ds.uhc.com</t>
  </si>
  <si>
    <t>USNAS_DB Name</t>
  </si>
  <si>
    <t>USNAS_DB_USERNAME</t>
  </si>
  <si>
    <t>USNAS_DB_PASSWORD</t>
  </si>
  <si>
    <t>DB SetUp_USNAS</t>
  </si>
  <si>
    <t>USNAS_DB server Name</t>
  </si>
  <si>
    <t>_HTH_Operations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</si>
</sst>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4" borderId="2" xfId="0" applyFont="1" applyFill="1" applyBorder="1" applyAlignment="1"/>
    <xf numFmtId="0" fontId="3" fillId="4" borderId="3" xfId="0" applyFont="1" applyFill="1" applyBorder="1" applyAlignment="1"/>
    <xf numFmtId="0" fontId="4" fillId="0" borderId="1" xfId="0" applyFont="1" applyBorder="1" applyAlignment="1">
      <alignment horizontal="center"/>
    </xf>
    <xf numFmtId="0" fontId="0" fillId="5" borderId="1" xfId="0" applyFill="1" applyBorder="1"/>
    <xf numFmtId="0" fontId="0" fillId="2" borderId="1" xfId="0" applyFont="1" applyFill="1" applyBorder="1" applyAlignment="1">
      <alignment horizontal="center" vertical="center"/>
    </xf>
    <xf numFmtId="0" fontId="2" fillId="0" borderId="1" xfId="2" applyBorder="1" applyAlignment="1"/>
    <xf numFmtId="0" fontId="0" fillId="5" borderId="1" xfId="0" applyFill="1" applyBorder="1" applyAlignment="1"/>
    <xf numFmtId="0" fontId="0" fillId="0" borderId="1" xfId="0" applyBorder="1" applyAlignment="1"/>
    <xf numFmtId="0" fontId="0" fillId="0" borderId="0" xfId="0" applyAlignment="1"/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tabSelected="1" workbookViewId="0">
      <selection activeCell="D13" sqref="D13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3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9" t="s">
        <v>2</v>
      </c>
      <c r="C2" s="9" t="s">
        <v>14</v>
      </c>
    </row>
    <row r="3" spans="2:7">
      <c r="B3" s="7" t="s">
        <v>10</v>
      </c>
      <c r="C3" s="10" t="str">
        <f>VLOOKUP(B3,B5:C8,2,)</f>
        <v>http://stage.hygeia.net</v>
      </c>
    </row>
    <row r="5" spans="2:7">
      <c r="B5" s="8" t="s">
        <v>2</v>
      </c>
      <c r="C5" s="11" t="s">
        <v>15</v>
      </c>
    </row>
    <row r="6" spans="2:7">
      <c r="B6" s="1" t="s">
        <v>8</v>
      </c>
      <c r="C6" s="10" t="s">
        <v>16</v>
      </c>
    </row>
    <row r="7" spans="2:7">
      <c r="B7" s="1" t="s">
        <v>10</v>
      </c>
      <c r="C7" s="10" t="s">
        <v>17</v>
      </c>
    </row>
    <row r="8" spans="2:7">
      <c r="B8" s="1" t="s">
        <v>11</v>
      </c>
      <c r="C8" s="10" t="s">
        <v>18</v>
      </c>
    </row>
    <row r="10" spans="2:7">
      <c r="B10" s="8" t="s">
        <v>2</v>
      </c>
      <c r="C10" s="11" t="s">
        <v>25</v>
      </c>
      <c r="D10" s="8" t="s">
        <v>21</v>
      </c>
      <c r="E10" s="8" t="s">
        <v>22</v>
      </c>
      <c r="F10" s="8" t="s">
        <v>23</v>
      </c>
    </row>
    <row r="11" spans="2:7">
      <c r="B11" s="1" t="s">
        <v>8</v>
      </c>
      <c r="C11" s="12" t="s">
        <v>19</v>
      </c>
      <c r="D11" s="12" t="s">
        <v>26</v>
      </c>
      <c r="E11" s="1" t="s">
        <v>13</v>
      </c>
      <c r="F11" s="1" t="s">
        <v>13</v>
      </c>
    </row>
    <row r="12" spans="2:7">
      <c r="B12" s="1" t="s">
        <v>10</v>
      </c>
      <c r="C12" s="12" t="s">
        <v>20</v>
      </c>
      <c r="D12" s="12" t="s">
        <v>26</v>
      </c>
      <c r="E12" s="1" t="s">
        <v>13</v>
      </c>
      <c r="F12" s="1" t="s">
        <v>13</v>
      </c>
    </row>
    <row r="13" spans="2:7">
      <c r="B13" s="1" t="s">
        <v>11</v>
      </c>
      <c r="C13" s="12" t="s">
        <v>13</v>
      </c>
      <c r="D13" s="12" t="s">
        <v>13</v>
      </c>
      <c r="E13" s="1" t="s">
        <v>13</v>
      </c>
      <c r="F13" s="1" t="s">
        <v>13</v>
      </c>
    </row>
    <row r="15" spans="2:7">
      <c r="B15" s="5" t="s">
        <v>24</v>
      </c>
      <c r="C15" s="6"/>
    </row>
    <row r="16" spans="2:7">
      <c r="B16" s="3" t="s">
        <v>3</v>
      </c>
      <c r="C16" s="3" t="s">
        <v>4</v>
      </c>
      <c r="D16" s="3" t="s">
        <v>5</v>
      </c>
      <c r="E16" s="3" t="s">
        <v>6</v>
      </c>
      <c r="F16" s="3" t="s">
        <v>0</v>
      </c>
      <c r="G16" s="3" t="s">
        <v>7</v>
      </c>
    </row>
    <row r="17" spans="2:7">
      <c r="B17" s="4" t="str">
        <f>VLOOKUP(B3,B10:F13,2,)</f>
        <v>dbses1230.ms.ds.uhc.com</v>
      </c>
      <c r="C17" s="4" t="str">
        <f>VLOOKUP(B3,B10:F13,3,)</f>
        <v>_HTH_Operations</v>
      </c>
      <c r="D17" s="4" t="s">
        <v>9</v>
      </c>
      <c r="E17" s="4" t="str">
        <f>VLOOKUP(B3,B10:F13,4,)</f>
        <v>N/A</v>
      </c>
      <c r="F17" s="4" t="str">
        <f>VLOOKUP(B3,B10:F13,5,)</f>
        <v>N/A</v>
      </c>
      <c r="G17" s="4" t="s">
        <v>1</v>
      </c>
    </row>
    <row r="27" spans="2:7">
      <c r="E27" s="2" t="s">
        <v>9</v>
      </c>
    </row>
    <row r="28" spans="2:7">
      <c r="E28" s="2" t="s">
        <v>12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DB_CONFIG</vt:lpstr>
      <vt:lpstr>DBConect_USNAS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2018-02-18T12:40:52Z</dcterms:modified>
</cp:coreProperties>
</file>